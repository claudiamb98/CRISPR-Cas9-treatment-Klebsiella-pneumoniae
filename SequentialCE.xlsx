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m1155_exeter_ac_uk/Documents/Desktop/Klebsiella Manuscript/FINAL_PostStien/DATA/DATA/"/>
    </mc:Choice>
  </mc:AlternateContent>
  <xr:revisionPtr revIDLastSave="160" documentId="8_{910FEE07-51F4-8F46-B359-5FF0BABC01E8}" xr6:coauthVersionLast="47" xr6:coauthVersionMax="47" xr10:uidLastSave="{F4F0A657-3563-49E3-BB9F-194845B11713}"/>
  <bookViews>
    <workbookView xWindow="-108" yWindow="-108" windowWidth="23256" windowHeight="12456" xr2:uid="{BE884E9F-960C-3748-AB7A-AA22043FF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62" i="1"/>
  <c r="E32" i="1" l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9" i="1"/>
  <c r="E30" i="1"/>
  <c r="E31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<sst xmlns="http://schemas.openxmlformats.org/spreadsheetml/2006/main" count="410" uniqueCount="25">
  <si>
    <t>Mating</t>
  </si>
  <si>
    <t>Replicate</t>
  </si>
  <si>
    <t>CE</t>
  </si>
  <si>
    <t>Type</t>
  </si>
  <si>
    <t>Plasmid</t>
  </si>
  <si>
    <t>LD</t>
  </si>
  <si>
    <t>Solid</t>
  </si>
  <si>
    <t>NT</t>
  </si>
  <si>
    <t>n</t>
  </si>
  <si>
    <t>y</t>
  </si>
  <si>
    <t>Liquid</t>
  </si>
  <si>
    <t>Recipients</t>
  </si>
  <si>
    <t>Transconjugants</t>
  </si>
  <si>
    <t>pDSU_DH5LD</t>
  </si>
  <si>
    <t>Time</t>
  </si>
  <si>
    <t>pDSU_K12LD</t>
  </si>
  <si>
    <t>pKJK5_DH5LD</t>
  </si>
  <si>
    <t>pKJK5_KlebsLD</t>
  </si>
  <si>
    <t>Figure</t>
  </si>
  <si>
    <t>Noplasmid</t>
  </si>
  <si>
    <t>CTX</t>
  </si>
  <si>
    <t>SupFig1</t>
  </si>
  <si>
    <t>SupFig2</t>
  </si>
  <si>
    <t>SupFig3D</t>
  </si>
  <si>
    <t>2B&amp;SupFig3A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</si>
</sst>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0" borderId="2" xfId="0" applyFont="1" applyBorder="1"/>
    <xf numFmtId="0" fontId="2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3" fillId="2" borderId="0" xfId="0" applyFont="1" applyFill="1"/>
    <xf numFmtId="0" fontId="3" fillId="0" borderId="2" xfId="0" applyFont="1" applyBorder="1"/>
    <xf numFmtId="0" fontId="5" fillId="0" borderId="0" xfId="0" applyFont="1"/>
    <xf numFmtId="11" fontId="1" fillId="0" borderId="0" xfId="0" applyNumberFormat="1" applyFont="1"/>
    <xf numFmtId="11" fontId="1" fillId="0" borderId="2" xfId="0" applyNumberFormat="1" applyFont="1" applyBorder="1"/>
    <xf numFmtId="11" fontId="3" fillId="0" borderId="1" xfId="0" applyNumberFormat="1" applyFont="1" applyBorder="1"/>
    <xf numFmtId="11" fontId="3" fillId="0" borderId="0" xfId="0" applyNumberFormat="1" applyFont="1"/>
    <xf numFmtId="11" fontId="3" fillId="0" borderId="2" xfId="0" applyNumberFormat="1" applyFont="1" applyBorder="1"/>
    <xf numFmtId="11" fontId="1" fillId="0" borderId="1" xfId="0" applyNumberFormat="1" applyFont="1" applyBorder="1"/>
    <xf numFmtId="11" fontId="2" fillId="0" borderId="0" xfId="0" applyNumberFormat="1" applyFont="1"/>
    <xf numFmtId="11" fontId="4" fillId="0" borderId="0" xfId="0" applyNumberFormat="1" applyFont="1"/>
    <xf numFmtId="11" fontId="4" fillId="2" borderId="0" xfId="0" applyNumberFormat="1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15A1-FFF4-C841-B79E-269A35C44B21}">
  <dimension ref="A1:J81"/>
  <sheetViews>
    <sheetView tabSelected="1" topLeftCell="A72" workbookViewId="0">
      <selection activeCell="K78" sqref="K78"/>
    </sheetView>
  </sheetViews>
  <sheetFormatPr defaultColWidth="11.19921875" defaultRowHeight="15.6" x14ac:dyDescent="0.3"/>
  <cols>
    <col min="3" max="3" width="13.69921875" style="1" bestFit="1" customWidth="1"/>
    <col min="4" max="4" width="14.5" style="1" bestFit="1" customWidth="1"/>
    <col min="5" max="5" width="12.19921875" style="1" bestFit="1" customWidth="1"/>
    <col min="6" max="6" width="13.19921875" bestFit="1" customWidth="1"/>
    <col min="9" max="9" width="6.796875" customWidth="1"/>
    <col min="10" max="10" width="12" bestFit="1" customWidth="1"/>
  </cols>
  <sheetData>
    <row r="1" spans="1:10" x14ac:dyDescent="0.3">
      <c r="A1" s="24" t="s">
        <v>0</v>
      </c>
      <c r="B1" s="24" t="s">
        <v>1</v>
      </c>
      <c r="C1" s="24" t="s">
        <v>11</v>
      </c>
      <c r="D1" s="24" t="s">
        <v>12</v>
      </c>
      <c r="E1" s="25" t="s">
        <v>2</v>
      </c>
      <c r="F1" s="25" t="s">
        <v>3</v>
      </c>
      <c r="G1" s="24" t="s">
        <v>4</v>
      </c>
      <c r="H1" s="24" t="s">
        <v>5</v>
      </c>
      <c r="I1" s="24" t="s">
        <v>14</v>
      </c>
      <c r="J1" s="24" t="s">
        <v>18</v>
      </c>
    </row>
    <row r="2" spans="1:10" x14ac:dyDescent="0.3">
      <c r="A2" s="5" t="s">
        <v>6</v>
      </c>
      <c r="B2" s="5">
        <v>1</v>
      </c>
      <c r="C2" s="15">
        <v>140000000</v>
      </c>
      <c r="D2" s="4">
        <v>10000</v>
      </c>
      <c r="E2" s="15">
        <f>D2/C2</f>
        <v>7.1428571428571434E-5</v>
      </c>
      <c r="F2" s="5" t="s">
        <v>13</v>
      </c>
      <c r="G2" s="5" t="s">
        <v>19</v>
      </c>
      <c r="H2" s="5" t="s">
        <v>8</v>
      </c>
      <c r="I2" s="5">
        <v>48</v>
      </c>
      <c r="J2" s="5" t="s">
        <v>24</v>
      </c>
    </row>
    <row r="3" spans="1:10" x14ac:dyDescent="0.3">
      <c r="A3" s="5" t="s">
        <v>6</v>
      </c>
      <c r="B3" s="5">
        <v>2</v>
      </c>
      <c r="C3" s="15">
        <v>180000000</v>
      </c>
      <c r="D3" s="4">
        <v>2000</v>
      </c>
      <c r="E3" s="15">
        <f t="shared" ref="E3:E56" si="0">D3/C3</f>
        <v>1.1111111111111112E-5</v>
      </c>
      <c r="F3" s="5" t="s">
        <v>13</v>
      </c>
      <c r="G3" s="5" t="s">
        <v>19</v>
      </c>
      <c r="H3" s="5" t="s">
        <v>8</v>
      </c>
      <c r="I3" s="5">
        <v>48</v>
      </c>
      <c r="J3" s="5" t="s">
        <v>24</v>
      </c>
    </row>
    <row r="4" spans="1:10" x14ac:dyDescent="0.3">
      <c r="A4" s="5" t="s">
        <v>6</v>
      </c>
      <c r="B4" s="5">
        <v>3</v>
      </c>
      <c r="C4" s="15">
        <v>240000000</v>
      </c>
      <c r="D4" s="4">
        <v>12000</v>
      </c>
      <c r="E4" s="15">
        <f t="shared" si="0"/>
        <v>5.0000000000000002E-5</v>
      </c>
      <c r="F4" s="5" t="s">
        <v>13</v>
      </c>
      <c r="G4" s="5" t="s">
        <v>19</v>
      </c>
      <c r="H4" s="5" t="s">
        <v>8</v>
      </c>
      <c r="I4" s="5">
        <v>48</v>
      </c>
      <c r="J4" s="5" t="s">
        <v>24</v>
      </c>
    </row>
    <row r="5" spans="1:10" x14ac:dyDescent="0.3">
      <c r="A5" s="5" t="s">
        <v>6</v>
      </c>
      <c r="B5" s="5">
        <v>4</v>
      </c>
      <c r="C5" s="15">
        <v>260000000</v>
      </c>
      <c r="D5" s="4">
        <v>4000</v>
      </c>
      <c r="E5" s="15">
        <f t="shared" si="0"/>
        <v>1.5384615384615384E-5</v>
      </c>
      <c r="F5" s="5" t="s">
        <v>13</v>
      </c>
      <c r="G5" s="5" t="s">
        <v>19</v>
      </c>
      <c r="H5" s="5" t="s">
        <v>8</v>
      </c>
      <c r="I5" s="5">
        <v>48</v>
      </c>
      <c r="J5" s="5" t="s">
        <v>24</v>
      </c>
    </row>
    <row r="6" spans="1:10" x14ac:dyDescent="0.3">
      <c r="A6" s="5" t="s">
        <v>6</v>
      </c>
      <c r="B6" s="5">
        <v>5</v>
      </c>
      <c r="C6" s="15">
        <v>340000000</v>
      </c>
      <c r="D6" s="6">
        <v>100</v>
      </c>
      <c r="E6" s="15">
        <f t="shared" si="0"/>
        <v>2.941176470588235E-7</v>
      </c>
      <c r="F6" s="5" t="s">
        <v>13</v>
      </c>
      <c r="G6" s="5" t="s">
        <v>19</v>
      </c>
      <c r="H6" s="5" t="s">
        <v>9</v>
      </c>
      <c r="I6" s="5">
        <v>48</v>
      </c>
      <c r="J6" s="5" t="s">
        <v>24</v>
      </c>
    </row>
    <row r="7" spans="1:10" x14ac:dyDescent="0.3">
      <c r="A7" s="5" t="s">
        <v>6</v>
      </c>
      <c r="B7" s="5">
        <v>1</v>
      </c>
      <c r="C7" s="15">
        <v>160000000</v>
      </c>
      <c r="D7" s="4">
        <v>20000</v>
      </c>
      <c r="E7" s="15">
        <f t="shared" si="0"/>
        <v>1.25E-4</v>
      </c>
      <c r="F7" s="5" t="s">
        <v>13</v>
      </c>
      <c r="G7" s="5" t="s">
        <v>7</v>
      </c>
      <c r="H7" s="5" t="s">
        <v>8</v>
      </c>
      <c r="I7" s="5">
        <v>48</v>
      </c>
      <c r="J7" s="5" t="s">
        <v>24</v>
      </c>
    </row>
    <row r="8" spans="1:10" x14ac:dyDescent="0.3">
      <c r="A8" s="5" t="s">
        <v>6</v>
      </c>
      <c r="B8" s="5">
        <v>2</v>
      </c>
      <c r="C8" s="15">
        <v>300000000</v>
      </c>
      <c r="D8" s="4">
        <v>40000</v>
      </c>
      <c r="E8" s="15">
        <f t="shared" si="0"/>
        <v>1.3333333333333334E-4</v>
      </c>
      <c r="F8" s="5" t="s">
        <v>13</v>
      </c>
      <c r="G8" s="5" t="s">
        <v>7</v>
      </c>
      <c r="H8" s="5" t="s">
        <v>8</v>
      </c>
      <c r="I8" s="5">
        <v>48</v>
      </c>
      <c r="J8" s="5" t="s">
        <v>24</v>
      </c>
    </row>
    <row r="9" spans="1:10" x14ac:dyDescent="0.3">
      <c r="A9" s="5" t="s">
        <v>6</v>
      </c>
      <c r="B9" s="5">
        <v>3</v>
      </c>
      <c r="C9" s="15">
        <v>300000000</v>
      </c>
      <c r="D9" s="4">
        <v>20000</v>
      </c>
      <c r="E9" s="15">
        <f t="shared" si="0"/>
        <v>6.666666666666667E-5</v>
      </c>
      <c r="F9" s="5" t="s">
        <v>13</v>
      </c>
      <c r="G9" s="5" t="s">
        <v>7</v>
      </c>
      <c r="H9" s="5" t="s">
        <v>8</v>
      </c>
      <c r="I9" s="5">
        <v>48</v>
      </c>
      <c r="J9" s="5" t="s">
        <v>24</v>
      </c>
    </row>
    <row r="10" spans="1:10" x14ac:dyDescent="0.3">
      <c r="A10" s="5" t="s">
        <v>6</v>
      </c>
      <c r="B10" s="5">
        <v>4</v>
      </c>
      <c r="C10" s="15">
        <v>200000000</v>
      </c>
      <c r="D10" s="4">
        <v>20000</v>
      </c>
      <c r="E10" s="15">
        <f t="shared" si="0"/>
        <v>1E-4</v>
      </c>
      <c r="F10" s="5" t="s">
        <v>13</v>
      </c>
      <c r="G10" s="5" t="s">
        <v>7</v>
      </c>
      <c r="H10" s="5" t="s">
        <v>8</v>
      </c>
      <c r="I10" s="5">
        <v>48</v>
      </c>
      <c r="J10" s="5" t="s">
        <v>24</v>
      </c>
    </row>
    <row r="11" spans="1:10" x14ac:dyDescent="0.3">
      <c r="A11" s="5" t="s">
        <v>6</v>
      </c>
      <c r="B11" s="5">
        <v>5</v>
      </c>
      <c r="C11" s="15">
        <v>100000000</v>
      </c>
      <c r="D11" s="4">
        <v>6000</v>
      </c>
      <c r="E11" s="15">
        <f t="shared" si="0"/>
        <v>6.0000000000000002E-5</v>
      </c>
      <c r="F11" s="5" t="s">
        <v>13</v>
      </c>
      <c r="G11" s="5" t="s">
        <v>7</v>
      </c>
      <c r="H11" s="5" t="s">
        <v>8</v>
      </c>
      <c r="I11" s="5">
        <v>48</v>
      </c>
      <c r="J11" s="5" t="s">
        <v>24</v>
      </c>
    </row>
    <row r="12" spans="1:10" x14ac:dyDescent="0.3">
      <c r="A12" s="5" t="s">
        <v>6</v>
      </c>
      <c r="B12" s="5">
        <v>1</v>
      </c>
      <c r="C12" s="15">
        <v>180000000</v>
      </c>
      <c r="D12" s="6">
        <v>100</v>
      </c>
      <c r="E12" s="15">
        <f t="shared" si="0"/>
        <v>5.5555555555555552E-7</v>
      </c>
      <c r="F12" s="5" t="s">
        <v>13</v>
      </c>
      <c r="G12" s="5" t="s">
        <v>20</v>
      </c>
      <c r="H12" s="5" t="s">
        <v>9</v>
      </c>
      <c r="I12" s="5">
        <v>48</v>
      </c>
      <c r="J12" s="5" t="s">
        <v>24</v>
      </c>
    </row>
    <row r="13" spans="1:10" x14ac:dyDescent="0.3">
      <c r="A13" s="5" t="s">
        <v>6</v>
      </c>
      <c r="B13" s="5">
        <v>2</v>
      </c>
      <c r="C13" s="15">
        <v>80000000</v>
      </c>
      <c r="D13" s="6">
        <v>100</v>
      </c>
      <c r="E13" s="15">
        <f t="shared" si="0"/>
        <v>1.2500000000000001E-6</v>
      </c>
      <c r="F13" s="5" t="s">
        <v>13</v>
      </c>
      <c r="G13" s="5" t="s">
        <v>20</v>
      </c>
      <c r="H13" s="5" t="s">
        <v>9</v>
      </c>
      <c r="I13" s="5">
        <v>48</v>
      </c>
      <c r="J13" s="5" t="s">
        <v>24</v>
      </c>
    </row>
    <row r="14" spans="1:10" x14ac:dyDescent="0.3">
      <c r="A14" s="5" t="s">
        <v>6</v>
      </c>
      <c r="B14" s="5">
        <v>3</v>
      </c>
      <c r="C14" s="15">
        <v>60000000</v>
      </c>
      <c r="D14" s="6">
        <v>100</v>
      </c>
      <c r="E14" s="15">
        <f t="shared" si="0"/>
        <v>1.6666666666666667E-6</v>
      </c>
      <c r="F14" s="5" t="s">
        <v>13</v>
      </c>
      <c r="G14" s="5" t="s">
        <v>20</v>
      </c>
      <c r="H14" s="5" t="s">
        <v>9</v>
      </c>
      <c r="I14" s="5">
        <v>48</v>
      </c>
      <c r="J14" s="5" t="s">
        <v>24</v>
      </c>
    </row>
    <row r="15" spans="1:10" x14ac:dyDescent="0.3">
      <c r="A15" s="5" t="s">
        <v>6</v>
      </c>
      <c r="B15" s="5">
        <v>4</v>
      </c>
      <c r="C15" s="15">
        <v>100000000</v>
      </c>
      <c r="D15" s="6">
        <v>100</v>
      </c>
      <c r="E15" s="15">
        <f t="shared" si="0"/>
        <v>9.9999999999999995E-7</v>
      </c>
      <c r="F15" s="5" t="s">
        <v>13</v>
      </c>
      <c r="G15" s="5" t="s">
        <v>20</v>
      </c>
      <c r="H15" s="5" t="s">
        <v>9</v>
      </c>
      <c r="I15" s="5">
        <v>48</v>
      </c>
      <c r="J15" s="5" t="s">
        <v>24</v>
      </c>
    </row>
    <row r="16" spans="1:10" x14ac:dyDescent="0.3">
      <c r="A16" s="5" t="s">
        <v>6</v>
      </c>
      <c r="B16" s="5">
        <v>5</v>
      </c>
      <c r="C16" s="15">
        <v>60000000</v>
      </c>
      <c r="D16" s="6">
        <v>100</v>
      </c>
      <c r="E16" s="15">
        <f t="shared" si="0"/>
        <v>1.6666666666666667E-6</v>
      </c>
      <c r="F16" s="5" t="s">
        <v>13</v>
      </c>
      <c r="G16" s="5" t="s">
        <v>20</v>
      </c>
      <c r="H16" s="5" t="s">
        <v>9</v>
      </c>
      <c r="I16" s="5">
        <v>48</v>
      </c>
      <c r="J16" s="5" t="s">
        <v>24</v>
      </c>
    </row>
    <row r="17" spans="1:10" x14ac:dyDescent="0.3">
      <c r="A17" s="5" t="s">
        <v>10</v>
      </c>
      <c r="B17" s="5">
        <v>1</v>
      </c>
      <c r="C17" s="15">
        <v>22000000</v>
      </c>
      <c r="D17" s="15">
        <v>200000</v>
      </c>
      <c r="E17" s="15">
        <f t="shared" si="0"/>
        <v>9.0909090909090905E-3</v>
      </c>
      <c r="F17" s="5" t="s">
        <v>13</v>
      </c>
      <c r="G17" s="5" t="s">
        <v>19</v>
      </c>
      <c r="H17" s="5" t="s">
        <v>8</v>
      </c>
      <c r="I17" s="5">
        <v>48</v>
      </c>
      <c r="J17" s="5" t="s">
        <v>24</v>
      </c>
    </row>
    <row r="18" spans="1:10" x14ac:dyDescent="0.3">
      <c r="A18" s="5" t="s">
        <v>10</v>
      </c>
      <c r="B18" s="5">
        <v>2</v>
      </c>
      <c r="C18" s="15">
        <v>48000000</v>
      </c>
      <c r="D18" s="15">
        <v>200000</v>
      </c>
      <c r="E18" s="15">
        <f t="shared" si="0"/>
        <v>4.1666666666666666E-3</v>
      </c>
      <c r="F18" s="5" t="s">
        <v>13</v>
      </c>
      <c r="G18" s="5" t="s">
        <v>19</v>
      </c>
      <c r="H18" s="5" t="s">
        <v>8</v>
      </c>
      <c r="I18" s="5">
        <v>48</v>
      </c>
      <c r="J18" s="5" t="s">
        <v>24</v>
      </c>
    </row>
    <row r="19" spans="1:10" x14ac:dyDescent="0.3">
      <c r="A19" s="5" t="s">
        <v>10</v>
      </c>
      <c r="B19" s="5">
        <v>3</v>
      </c>
      <c r="C19" s="15">
        <v>36000000</v>
      </c>
      <c r="D19" s="15">
        <v>180000</v>
      </c>
      <c r="E19" s="15">
        <f t="shared" si="0"/>
        <v>5.0000000000000001E-3</v>
      </c>
      <c r="F19" s="5" t="s">
        <v>13</v>
      </c>
      <c r="G19" s="5" t="s">
        <v>19</v>
      </c>
      <c r="H19" s="5" t="s">
        <v>8</v>
      </c>
      <c r="I19" s="5">
        <v>48</v>
      </c>
      <c r="J19" s="5" t="s">
        <v>24</v>
      </c>
    </row>
    <row r="20" spans="1:10" x14ac:dyDescent="0.3">
      <c r="A20" s="5" t="s">
        <v>10</v>
      </c>
      <c r="B20" s="5">
        <v>4</v>
      </c>
      <c r="C20" s="15">
        <v>30000000</v>
      </c>
      <c r="D20" s="15">
        <v>120000</v>
      </c>
      <c r="E20" s="15">
        <f t="shared" si="0"/>
        <v>4.0000000000000001E-3</v>
      </c>
      <c r="F20" s="5" t="s">
        <v>13</v>
      </c>
      <c r="G20" s="5" t="s">
        <v>19</v>
      </c>
      <c r="H20" s="5" t="s">
        <v>8</v>
      </c>
      <c r="I20" s="5">
        <v>48</v>
      </c>
      <c r="J20" s="5" t="s">
        <v>24</v>
      </c>
    </row>
    <row r="21" spans="1:10" x14ac:dyDescent="0.3">
      <c r="A21" s="5" t="s">
        <v>10</v>
      </c>
      <c r="B21" s="5">
        <v>5</v>
      </c>
      <c r="C21" s="15">
        <v>30000000</v>
      </c>
      <c r="D21" s="15">
        <v>200000</v>
      </c>
      <c r="E21" s="15">
        <f t="shared" si="0"/>
        <v>6.6666666666666671E-3</v>
      </c>
      <c r="F21" s="5" t="s">
        <v>13</v>
      </c>
      <c r="G21" s="5" t="s">
        <v>19</v>
      </c>
      <c r="H21" s="5" t="s">
        <v>8</v>
      </c>
      <c r="I21" s="5">
        <v>48</v>
      </c>
      <c r="J21" s="5" t="s">
        <v>24</v>
      </c>
    </row>
    <row r="22" spans="1:10" x14ac:dyDescent="0.3">
      <c r="A22" s="5" t="s">
        <v>10</v>
      </c>
      <c r="B22" s="5">
        <v>1</v>
      </c>
      <c r="C22" s="15">
        <v>46000000</v>
      </c>
      <c r="D22" s="15">
        <v>1400000</v>
      </c>
      <c r="E22" s="15">
        <f t="shared" si="0"/>
        <v>3.0434782608695653E-2</v>
      </c>
      <c r="F22" s="5" t="s">
        <v>13</v>
      </c>
      <c r="G22" s="5" t="s">
        <v>7</v>
      </c>
      <c r="H22" s="5" t="s">
        <v>8</v>
      </c>
      <c r="I22" s="5">
        <v>48</v>
      </c>
      <c r="J22" s="5" t="s">
        <v>24</v>
      </c>
    </row>
    <row r="23" spans="1:10" x14ac:dyDescent="0.3">
      <c r="A23" s="5" t="s">
        <v>10</v>
      </c>
      <c r="B23" s="5">
        <v>2</v>
      </c>
      <c r="C23" s="15">
        <v>42000000</v>
      </c>
      <c r="D23" s="15">
        <v>800000</v>
      </c>
      <c r="E23" s="15">
        <f t="shared" si="0"/>
        <v>1.9047619047619049E-2</v>
      </c>
      <c r="F23" s="5" t="s">
        <v>13</v>
      </c>
      <c r="G23" s="5" t="s">
        <v>7</v>
      </c>
      <c r="H23" s="5" t="s">
        <v>8</v>
      </c>
      <c r="I23" s="5">
        <v>48</v>
      </c>
      <c r="J23" s="5" t="s">
        <v>24</v>
      </c>
    </row>
    <row r="24" spans="1:10" x14ac:dyDescent="0.3">
      <c r="A24" s="5" t="s">
        <v>10</v>
      </c>
      <c r="B24" s="5">
        <v>3</v>
      </c>
      <c r="C24" s="15">
        <v>38000000</v>
      </c>
      <c r="D24" s="15">
        <v>180000</v>
      </c>
      <c r="E24" s="15">
        <f t="shared" si="0"/>
        <v>4.7368421052631582E-3</v>
      </c>
      <c r="F24" s="5" t="s">
        <v>13</v>
      </c>
      <c r="G24" s="5" t="s">
        <v>7</v>
      </c>
      <c r="H24" s="5" t="s">
        <v>8</v>
      </c>
      <c r="I24" s="5">
        <v>48</v>
      </c>
      <c r="J24" s="5" t="s">
        <v>24</v>
      </c>
    </row>
    <row r="25" spans="1:10" x14ac:dyDescent="0.3">
      <c r="A25" s="5" t="s">
        <v>10</v>
      </c>
      <c r="B25" s="5">
        <v>4</v>
      </c>
      <c r="C25" s="15">
        <v>26000000</v>
      </c>
      <c r="D25" s="15">
        <v>360000</v>
      </c>
      <c r="E25" s="15">
        <f t="shared" si="0"/>
        <v>1.3846153846153847E-2</v>
      </c>
      <c r="F25" s="5" t="s">
        <v>13</v>
      </c>
      <c r="G25" s="5" t="s">
        <v>7</v>
      </c>
      <c r="H25" s="5" t="s">
        <v>8</v>
      </c>
      <c r="I25" s="5">
        <v>48</v>
      </c>
      <c r="J25" s="5" t="s">
        <v>24</v>
      </c>
    </row>
    <row r="26" spans="1:10" x14ac:dyDescent="0.3">
      <c r="A26" s="5" t="s">
        <v>10</v>
      </c>
      <c r="B26" s="5">
        <v>5</v>
      </c>
      <c r="C26" s="15">
        <v>44000000</v>
      </c>
      <c r="D26" s="15">
        <v>100000</v>
      </c>
      <c r="E26" s="15">
        <f t="shared" si="0"/>
        <v>2.2727272727272726E-3</v>
      </c>
      <c r="F26" s="5" t="s">
        <v>13</v>
      </c>
      <c r="G26" s="5" t="s">
        <v>7</v>
      </c>
      <c r="H26" s="5" t="s">
        <v>8</v>
      </c>
      <c r="I26" s="5">
        <v>48</v>
      </c>
      <c r="J26" s="5" t="s">
        <v>24</v>
      </c>
    </row>
    <row r="27" spans="1:10" x14ac:dyDescent="0.3">
      <c r="A27" s="5" t="s">
        <v>10</v>
      </c>
      <c r="B27" s="5">
        <v>1</v>
      </c>
      <c r="C27" s="15">
        <v>22000000</v>
      </c>
      <c r="D27" s="15">
        <v>180000</v>
      </c>
      <c r="E27" s="15">
        <f t="shared" si="0"/>
        <v>8.1818181818181825E-3</v>
      </c>
      <c r="F27" s="5" t="s">
        <v>13</v>
      </c>
      <c r="G27" s="5" t="s">
        <v>20</v>
      </c>
      <c r="H27" s="5" t="s">
        <v>8</v>
      </c>
      <c r="I27" s="5">
        <v>48</v>
      </c>
      <c r="J27" s="5" t="s">
        <v>24</v>
      </c>
    </row>
    <row r="28" spans="1:10" x14ac:dyDescent="0.3">
      <c r="A28" s="5" t="s">
        <v>10</v>
      </c>
      <c r="B28" s="5">
        <v>2</v>
      </c>
      <c r="C28" s="15">
        <v>30000000</v>
      </c>
      <c r="D28" s="15">
        <v>240000</v>
      </c>
      <c r="E28" s="15">
        <f t="shared" si="0"/>
        <v>8.0000000000000002E-3</v>
      </c>
      <c r="F28" s="5" t="s">
        <v>13</v>
      </c>
      <c r="G28" s="5" t="s">
        <v>20</v>
      </c>
      <c r="H28" s="5" t="s">
        <v>8</v>
      </c>
      <c r="I28" s="5">
        <v>48</v>
      </c>
      <c r="J28" s="5" t="s">
        <v>24</v>
      </c>
    </row>
    <row r="29" spans="1:10" x14ac:dyDescent="0.3">
      <c r="A29" s="5" t="s">
        <v>10</v>
      </c>
      <c r="B29" s="5">
        <v>3</v>
      </c>
      <c r="C29" s="15">
        <v>32000000</v>
      </c>
      <c r="D29" s="15">
        <v>140000</v>
      </c>
      <c r="E29" s="15">
        <f>D29/C29</f>
        <v>4.3750000000000004E-3</v>
      </c>
      <c r="F29" s="5" t="s">
        <v>13</v>
      </c>
      <c r="G29" s="5" t="s">
        <v>20</v>
      </c>
      <c r="H29" s="5" t="s">
        <v>8</v>
      </c>
      <c r="I29" s="5">
        <v>48</v>
      </c>
      <c r="J29" s="5" t="s">
        <v>24</v>
      </c>
    </row>
    <row r="30" spans="1:10" x14ac:dyDescent="0.3">
      <c r="A30" s="5" t="s">
        <v>10</v>
      </c>
      <c r="B30" s="5">
        <v>4</v>
      </c>
      <c r="C30" s="15">
        <v>38000000</v>
      </c>
      <c r="D30" s="15">
        <v>40000</v>
      </c>
      <c r="E30" s="15">
        <f t="shared" si="0"/>
        <v>1.0526315789473684E-3</v>
      </c>
      <c r="F30" s="5" t="s">
        <v>13</v>
      </c>
      <c r="G30" s="5" t="s">
        <v>20</v>
      </c>
      <c r="H30" s="5" t="s">
        <v>8</v>
      </c>
      <c r="I30" s="5">
        <v>48</v>
      </c>
      <c r="J30" s="5" t="s">
        <v>24</v>
      </c>
    </row>
    <row r="31" spans="1:10" s="3" customFormat="1" x14ac:dyDescent="0.3">
      <c r="A31" s="7" t="s">
        <v>10</v>
      </c>
      <c r="B31" s="7">
        <v>5</v>
      </c>
      <c r="C31" s="16">
        <v>40000000</v>
      </c>
      <c r="D31" s="16">
        <v>40000</v>
      </c>
      <c r="E31" s="16">
        <f t="shared" si="0"/>
        <v>1E-3</v>
      </c>
      <c r="F31" s="7" t="s">
        <v>13</v>
      </c>
      <c r="G31" s="7" t="s">
        <v>20</v>
      </c>
      <c r="H31" s="7" t="s">
        <v>8</v>
      </c>
      <c r="I31" s="7">
        <v>48</v>
      </c>
      <c r="J31" s="5" t="s">
        <v>24</v>
      </c>
    </row>
    <row r="32" spans="1:10" x14ac:dyDescent="0.3">
      <c r="A32" s="5" t="s">
        <v>6</v>
      </c>
      <c r="B32" s="5">
        <v>1</v>
      </c>
      <c r="C32" s="21">
        <v>3000000000</v>
      </c>
      <c r="D32" s="5">
        <v>20000</v>
      </c>
      <c r="E32" s="15">
        <f t="shared" si="0"/>
        <v>6.6666666666666666E-6</v>
      </c>
      <c r="F32" s="5" t="s">
        <v>15</v>
      </c>
      <c r="G32" s="5" t="s">
        <v>7</v>
      </c>
      <c r="H32" s="5" t="s">
        <v>8</v>
      </c>
      <c r="I32" s="5">
        <v>48</v>
      </c>
      <c r="J32" s="5" t="s">
        <v>22</v>
      </c>
    </row>
    <row r="33" spans="1:10" x14ac:dyDescent="0.3">
      <c r="A33" s="5" t="s">
        <v>6</v>
      </c>
      <c r="B33" s="5">
        <v>2</v>
      </c>
      <c r="C33" s="21">
        <v>3200000000</v>
      </c>
      <c r="D33" s="5">
        <v>40000</v>
      </c>
      <c r="E33" s="15">
        <f t="shared" si="0"/>
        <v>1.2500000000000001E-5</v>
      </c>
      <c r="F33" s="5" t="s">
        <v>15</v>
      </c>
      <c r="G33" s="5" t="s">
        <v>7</v>
      </c>
      <c r="H33" s="5" t="s">
        <v>8</v>
      </c>
      <c r="I33" s="5">
        <v>48</v>
      </c>
      <c r="J33" s="5" t="s">
        <v>22</v>
      </c>
    </row>
    <row r="34" spans="1:10" x14ac:dyDescent="0.3">
      <c r="A34" s="5" t="s">
        <v>6</v>
      </c>
      <c r="B34" s="5">
        <v>3</v>
      </c>
      <c r="C34" s="21">
        <v>4200000000</v>
      </c>
      <c r="D34" s="5">
        <v>20000</v>
      </c>
      <c r="E34" s="15">
        <f t="shared" si="0"/>
        <v>4.7619047619047615E-6</v>
      </c>
      <c r="F34" s="5" t="s">
        <v>15</v>
      </c>
      <c r="G34" s="5" t="s">
        <v>7</v>
      </c>
      <c r="H34" s="5" t="s">
        <v>8</v>
      </c>
      <c r="I34" s="5">
        <v>48</v>
      </c>
      <c r="J34" s="5" t="s">
        <v>22</v>
      </c>
    </row>
    <row r="35" spans="1:10" x14ac:dyDescent="0.3">
      <c r="A35" s="5" t="s">
        <v>6</v>
      </c>
      <c r="B35" s="5">
        <v>4</v>
      </c>
      <c r="C35" s="21">
        <v>3200000000</v>
      </c>
      <c r="D35" s="8">
        <v>10000</v>
      </c>
      <c r="E35" s="15">
        <f t="shared" si="0"/>
        <v>3.1250000000000001E-6</v>
      </c>
      <c r="F35" s="5" t="s">
        <v>15</v>
      </c>
      <c r="G35" s="5" t="s">
        <v>7</v>
      </c>
      <c r="H35" s="5" t="s">
        <v>9</v>
      </c>
      <c r="I35" s="5">
        <v>48</v>
      </c>
      <c r="J35" s="5" t="s">
        <v>22</v>
      </c>
    </row>
    <row r="36" spans="1:10" x14ac:dyDescent="0.3">
      <c r="A36" s="5" t="s">
        <v>6</v>
      </c>
      <c r="B36" s="5">
        <v>5</v>
      </c>
      <c r="C36" s="21">
        <v>2800000000</v>
      </c>
      <c r="D36" s="5">
        <v>40000</v>
      </c>
      <c r="E36" s="15">
        <f t="shared" si="0"/>
        <v>1.4285714285714285E-5</v>
      </c>
      <c r="F36" s="5" t="s">
        <v>15</v>
      </c>
      <c r="G36" s="5" t="s">
        <v>7</v>
      </c>
      <c r="H36" s="5" t="s">
        <v>8</v>
      </c>
      <c r="I36" s="5">
        <v>48</v>
      </c>
      <c r="J36" s="5" t="s">
        <v>22</v>
      </c>
    </row>
    <row r="37" spans="1:10" x14ac:dyDescent="0.3">
      <c r="A37" s="5" t="s">
        <v>6</v>
      </c>
      <c r="B37" s="5">
        <v>1</v>
      </c>
      <c r="C37" s="21">
        <v>3800000000</v>
      </c>
      <c r="D37" s="8">
        <v>100</v>
      </c>
      <c r="E37" s="15">
        <f t="shared" si="0"/>
        <v>2.6315789473684211E-8</v>
      </c>
      <c r="F37" s="5" t="s">
        <v>15</v>
      </c>
      <c r="G37" s="5" t="s">
        <v>20</v>
      </c>
      <c r="H37" s="5" t="s">
        <v>9</v>
      </c>
      <c r="I37" s="5">
        <v>48</v>
      </c>
      <c r="J37" s="5" t="s">
        <v>22</v>
      </c>
    </row>
    <row r="38" spans="1:10" x14ac:dyDescent="0.3">
      <c r="A38" s="5" t="s">
        <v>6</v>
      </c>
      <c r="B38" s="5">
        <v>2</v>
      </c>
      <c r="C38" s="21">
        <v>3000000000</v>
      </c>
      <c r="D38" s="8">
        <v>100</v>
      </c>
      <c r="E38" s="15">
        <f t="shared" si="0"/>
        <v>3.3333333333333334E-8</v>
      </c>
      <c r="F38" s="5" t="s">
        <v>15</v>
      </c>
      <c r="G38" s="5" t="s">
        <v>20</v>
      </c>
      <c r="H38" s="5" t="s">
        <v>9</v>
      </c>
      <c r="I38" s="5">
        <v>48</v>
      </c>
      <c r="J38" s="5" t="s">
        <v>22</v>
      </c>
    </row>
    <row r="39" spans="1:10" x14ac:dyDescent="0.3">
      <c r="A39" s="5" t="s">
        <v>6</v>
      </c>
      <c r="B39" s="5">
        <v>3</v>
      </c>
      <c r="C39" s="21">
        <v>1200000000</v>
      </c>
      <c r="D39" s="8">
        <v>1000</v>
      </c>
      <c r="E39" s="15">
        <f t="shared" si="0"/>
        <v>8.3333333333333333E-7</v>
      </c>
      <c r="F39" s="5" t="s">
        <v>15</v>
      </c>
      <c r="G39" s="5" t="s">
        <v>20</v>
      </c>
      <c r="H39" s="5" t="s">
        <v>9</v>
      </c>
      <c r="I39" s="5">
        <v>48</v>
      </c>
      <c r="J39" s="5" t="s">
        <v>22</v>
      </c>
    </row>
    <row r="40" spans="1:10" x14ac:dyDescent="0.3">
      <c r="A40" s="5" t="s">
        <v>6</v>
      </c>
      <c r="B40" s="5">
        <v>4</v>
      </c>
      <c r="C40" s="21">
        <v>2400000000</v>
      </c>
      <c r="D40" s="8">
        <v>100</v>
      </c>
      <c r="E40" s="15">
        <f t="shared" si="0"/>
        <v>4.1666666666666669E-8</v>
      </c>
      <c r="F40" s="5" t="s">
        <v>15</v>
      </c>
      <c r="G40" s="5" t="s">
        <v>20</v>
      </c>
      <c r="H40" s="5" t="s">
        <v>9</v>
      </c>
      <c r="I40" s="5">
        <v>48</v>
      </c>
      <c r="J40" s="5" t="s">
        <v>22</v>
      </c>
    </row>
    <row r="41" spans="1:10" x14ac:dyDescent="0.3">
      <c r="A41" s="5" t="s">
        <v>6</v>
      </c>
      <c r="B41" s="5">
        <v>5</v>
      </c>
      <c r="C41" s="21">
        <v>4000000000</v>
      </c>
      <c r="D41" s="8">
        <v>100</v>
      </c>
      <c r="E41" s="15">
        <f t="shared" si="0"/>
        <v>2.4999999999999999E-8</v>
      </c>
      <c r="F41" s="5" t="s">
        <v>15</v>
      </c>
      <c r="G41" s="7" t="s">
        <v>20</v>
      </c>
      <c r="H41" s="5" t="s">
        <v>9</v>
      </c>
      <c r="I41" s="5">
        <v>48</v>
      </c>
      <c r="J41" s="5" t="s">
        <v>22</v>
      </c>
    </row>
    <row r="42" spans="1:10" s="2" customFormat="1" x14ac:dyDescent="0.3">
      <c r="A42" s="9" t="s">
        <v>6</v>
      </c>
      <c r="B42" s="9">
        <v>1</v>
      </c>
      <c r="C42" s="17">
        <v>38000000</v>
      </c>
      <c r="D42" s="10">
        <v>35200000</v>
      </c>
      <c r="E42" s="20">
        <f t="shared" si="0"/>
        <v>0.9263157894736842</v>
      </c>
      <c r="F42" s="9" t="s">
        <v>16</v>
      </c>
      <c r="G42" s="5" t="s">
        <v>7</v>
      </c>
      <c r="H42" s="9" t="s">
        <v>8</v>
      </c>
      <c r="I42" s="9">
        <v>2</v>
      </c>
      <c r="J42" s="2" t="s">
        <v>21</v>
      </c>
    </row>
    <row r="43" spans="1:10" x14ac:dyDescent="0.3">
      <c r="A43" s="5" t="s">
        <v>6</v>
      </c>
      <c r="B43" s="5">
        <v>2</v>
      </c>
      <c r="C43" s="18">
        <v>30000000</v>
      </c>
      <c r="D43" s="11">
        <v>30800000</v>
      </c>
      <c r="E43" s="15">
        <f t="shared" si="0"/>
        <v>1.0266666666666666</v>
      </c>
      <c r="F43" s="5" t="s">
        <v>16</v>
      </c>
      <c r="G43" s="5" t="s">
        <v>7</v>
      </c>
      <c r="H43" s="5" t="s">
        <v>8</v>
      </c>
      <c r="I43" s="5">
        <v>2</v>
      </c>
      <c r="J43" t="s">
        <v>21</v>
      </c>
    </row>
    <row r="44" spans="1:10" x14ac:dyDescent="0.3">
      <c r="A44" s="5" t="s">
        <v>6</v>
      </c>
      <c r="B44" s="5">
        <v>3</v>
      </c>
      <c r="C44" s="18">
        <v>32000000</v>
      </c>
      <c r="D44" s="11">
        <v>33400000</v>
      </c>
      <c r="E44" s="15">
        <f t="shared" si="0"/>
        <v>1.04375</v>
      </c>
      <c r="F44" s="5" t="s">
        <v>16</v>
      </c>
      <c r="G44" s="5" t="s">
        <v>7</v>
      </c>
      <c r="H44" s="5" t="s">
        <v>8</v>
      </c>
      <c r="I44" s="5">
        <v>2</v>
      </c>
      <c r="J44" t="s">
        <v>21</v>
      </c>
    </row>
    <row r="45" spans="1:10" x14ac:dyDescent="0.3">
      <c r="A45" s="5" t="s">
        <v>6</v>
      </c>
      <c r="B45" s="5">
        <v>4</v>
      </c>
      <c r="C45" s="18">
        <v>28000000</v>
      </c>
      <c r="D45" s="11">
        <v>23200000</v>
      </c>
      <c r="E45" s="15">
        <f t="shared" si="0"/>
        <v>0.82857142857142863</v>
      </c>
      <c r="F45" s="5" t="s">
        <v>16</v>
      </c>
      <c r="G45" s="5" t="s">
        <v>7</v>
      </c>
      <c r="H45" s="5" t="s">
        <v>8</v>
      </c>
      <c r="I45" s="5">
        <v>2</v>
      </c>
      <c r="J45" t="s">
        <v>21</v>
      </c>
    </row>
    <row r="46" spans="1:10" x14ac:dyDescent="0.3">
      <c r="A46" s="5" t="s">
        <v>6</v>
      </c>
      <c r="B46" s="5">
        <v>5</v>
      </c>
      <c r="C46" s="18">
        <v>38000000</v>
      </c>
      <c r="D46" s="11">
        <v>32400000</v>
      </c>
      <c r="E46" s="15">
        <f t="shared" si="0"/>
        <v>0.85263157894736841</v>
      </c>
      <c r="F46" s="5" t="s">
        <v>16</v>
      </c>
      <c r="G46" s="5" t="s">
        <v>7</v>
      </c>
      <c r="H46" s="5" t="s">
        <v>8</v>
      </c>
      <c r="I46" s="5">
        <v>2</v>
      </c>
      <c r="J46" t="s">
        <v>21</v>
      </c>
    </row>
    <row r="47" spans="1:10" x14ac:dyDescent="0.3">
      <c r="A47" s="5" t="s">
        <v>6</v>
      </c>
      <c r="B47" s="5">
        <v>1</v>
      </c>
      <c r="C47" s="18">
        <v>42000000</v>
      </c>
      <c r="D47" s="11">
        <v>49200000</v>
      </c>
      <c r="E47" s="15">
        <f t="shared" si="0"/>
        <v>1.1714285714285715</v>
      </c>
      <c r="F47" s="5" t="s">
        <v>16</v>
      </c>
      <c r="G47" s="5" t="s">
        <v>20</v>
      </c>
      <c r="H47" s="5" t="s">
        <v>8</v>
      </c>
      <c r="I47" s="5">
        <v>2</v>
      </c>
      <c r="J47" t="s">
        <v>21</v>
      </c>
    </row>
    <row r="48" spans="1:10" x14ac:dyDescent="0.3">
      <c r="A48" s="5" t="s">
        <v>6</v>
      </c>
      <c r="B48" s="5">
        <v>2</v>
      </c>
      <c r="C48" s="18">
        <v>56000000</v>
      </c>
      <c r="D48" s="11">
        <v>41400000</v>
      </c>
      <c r="E48" s="15">
        <f t="shared" si="0"/>
        <v>0.73928571428571432</v>
      </c>
      <c r="F48" s="5" t="s">
        <v>16</v>
      </c>
      <c r="G48" s="5" t="s">
        <v>20</v>
      </c>
      <c r="H48" s="5" t="s">
        <v>8</v>
      </c>
      <c r="I48" s="5">
        <v>2</v>
      </c>
      <c r="J48" t="s">
        <v>21</v>
      </c>
    </row>
    <row r="49" spans="1:10" x14ac:dyDescent="0.3">
      <c r="A49" s="5" t="s">
        <v>6</v>
      </c>
      <c r="B49" s="5">
        <v>3</v>
      </c>
      <c r="C49" s="18">
        <v>44000000</v>
      </c>
      <c r="D49" s="11">
        <v>26400000</v>
      </c>
      <c r="E49" s="15">
        <f t="shared" si="0"/>
        <v>0.6</v>
      </c>
      <c r="F49" s="5" t="s">
        <v>16</v>
      </c>
      <c r="G49" s="5" t="s">
        <v>20</v>
      </c>
      <c r="H49" s="5" t="s">
        <v>8</v>
      </c>
      <c r="I49" s="5">
        <v>2</v>
      </c>
      <c r="J49" t="s">
        <v>21</v>
      </c>
    </row>
    <row r="50" spans="1:10" x14ac:dyDescent="0.3">
      <c r="A50" s="5" t="s">
        <v>6</v>
      </c>
      <c r="B50" s="5">
        <v>4</v>
      </c>
      <c r="C50" s="18">
        <v>26000000</v>
      </c>
      <c r="D50" s="11">
        <v>6600000</v>
      </c>
      <c r="E50" s="15">
        <f t="shared" si="0"/>
        <v>0.25384615384615383</v>
      </c>
      <c r="F50" s="5" t="s">
        <v>16</v>
      </c>
      <c r="G50" s="5" t="s">
        <v>20</v>
      </c>
      <c r="H50" s="5" t="s">
        <v>8</v>
      </c>
      <c r="I50" s="5">
        <v>2</v>
      </c>
      <c r="J50" t="s">
        <v>21</v>
      </c>
    </row>
    <row r="51" spans="1:10" x14ac:dyDescent="0.3">
      <c r="A51" s="5" t="s">
        <v>6</v>
      </c>
      <c r="B51" s="5">
        <v>5</v>
      </c>
      <c r="C51" s="18">
        <v>40000000</v>
      </c>
      <c r="D51" s="11">
        <v>56000000</v>
      </c>
      <c r="E51" s="15">
        <f t="shared" si="0"/>
        <v>1.4</v>
      </c>
      <c r="F51" s="5" t="s">
        <v>16</v>
      </c>
      <c r="G51" s="5" t="s">
        <v>20</v>
      </c>
      <c r="H51" s="5" t="s">
        <v>8</v>
      </c>
      <c r="I51" s="5">
        <v>2</v>
      </c>
      <c r="J51" t="s">
        <v>21</v>
      </c>
    </row>
    <row r="52" spans="1:10" x14ac:dyDescent="0.3">
      <c r="A52" s="5" t="s">
        <v>10</v>
      </c>
      <c r="B52" s="5">
        <v>1</v>
      </c>
      <c r="C52" s="18">
        <v>40000000</v>
      </c>
      <c r="D52" s="11">
        <v>200</v>
      </c>
      <c r="E52" s="15">
        <f t="shared" si="0"/>
        <v>5.0000000000000004E-6</v>
      </c>
      <c r="F52" s="5" t="s">
        <v>16</v>
      </c>
      <c r="G52" s="5" t="s">
        <v>7</v>
      </c>
      <c r="H52" s="5" t="s">
        <v>8</v>
      </c>
      <c r="I52" s="5">
        <v>2</v>
      </c>
      <c r="J52" t="s">
        <v>21</v>
      </c>
    </row>
    <row r="53" spans="1:10" x14ac:dyDescent="0.3">
      <c r="A53" s="5" t="s">
        <v>10</v>
      </c>
      <c r="B53" s="5">
        <v>2</v>
      </c>
      <c r="C53" s="18">
        <v>46000000</v>
      </c>
      <c r="D53" s="12">
        <v>10</v>
      </c>
      <c r="E53" s="15">
        <f t="shared" si="0"/>
        <v>2.1739130434782609E-7</v>
      </c>
      <c r="F53" s="5" t="s">
        <v>16</v>
      </c>
      <c r="G53" s="5" t="s">
        <v>7</v>
      </c>
      <c r="H53" s="5" t="s">
        <v>9</v>
      </c>
      <c r="I53" s="5">
        <v>2</v>
      </c>
      <c r="J53" t="s">
        <v>21</v>
      </c>
    </row>
    <row r="54" spans="1:10" x14ac:dyDescent="0.3">
      <c r="A54" s="5" t="s">
        <v>10</v>
      </c>
      <c r="B54" s="5">
        <v>3</v>
      </c>
      <c r="C54" s="18">
        <v>34000000</v>
      </c>
      <c r="D54" s="11">
        <v>1000</v>
      </c>
      <c r="E54" s="15">
        <f t="shared" si="0"/>
        <v>2.9411764705882354E-5</v>
      </c>
      <c r="F54" s="5" t="s">
        <v>16</v>
      </c>
      <c r="G54" s="5" t="s">
        <v>7</v>
      </c>
      <c r="H54" s="5" t="s">
        <v>8</v>
      </c>
      <c r="I54" s="5">
        <v>2</v>
      </c>
      <c r="J54" t="s">
        <v>21</v>
      </c>
    </row>
    <row r="55" spans="1:10" x14ac:dyDescent="0.3">
      <c r="A55" s="5" t="s">
        <v>10</v>
      </c>
      <c r="B55" s="5">
        <v>4</v>
      </c>
      <c r="C55" s="18">
        <v>42000000</v>
      </c>
      <c r="D55" s="11">
        <v>400</v>
      </c>
      <c r="E55" s="15">
        <f t="shared" si="0"/>
        <v>9.5238095238095231E-6</v>
      </c>
      <c r="F55" s="5" t="s">
        <v>16</v>
      </c>
      <c r="G55" s="5" t="s">
        <v>7</v>
      </c>
      <c r="H55" s="5" t="s">
        <v>8</v>
      </c>
      <c r="I55" s="5">
        <v>2</v>
      </c>
      <c r="J55" t="s">
        <v>21</v>
      </c>
    </row>
    <row r="56" spans="1:10" x14ac:dyDescent="0.3">
      <c r="A56" s="5" t="s">
        <v>10</v>
      </c>
      <c r="B56" s="5">
        <v>5</v>
      </c>
      <c r="C56" s="18">
        <v>40000000</v>
      </c>
      <c r="D56" s="11">
        <v>600</v>
      </c>
      <c r="E56" s="15">
        <f t="shared" si="0"/>
        <v>1.5E-5</v>
      </c>
      <c r="F56" s="5" t="s">
        <v>16</v>
      </c>
      <c r="G56" s="5" t="s">
        <v>7</v>
      </c>
      <c r="H56" s="5" t="s">
        <v>8</v>
      </c>
      <c r="I56" s="5">
        <v>2</v>
      </c>
      <c r="J56" t="s">
        <v>21</v>
      </c>
    </row>
    <row r="57" spans="1:10" x14ac:dyDescent="0.3">
      <c r="A57" s="5" t="s">
        <v>10</v>
      </c>
      <c r="B57" s="5">
        <v>1</v>
      </c>
      <c r="C57" s="18">
        <v>32000000</v>
      </c>
      <c r="D57" s="12">
        <v>100</v>
      </c>
      <c r="E57" s="15">
        <f t="shared" ref="E57:E61" si="1">D57/C57</f>
        <v>3.1250000000000001E-6</v>
      </c>
      <c r="F57" s="5" t="s">
        <v>16</v>
      </c>
      <c r="G57" s="5" t="s">
        <v>20</v>
      </c>
      <c r="H57" s="5" t="s">
        <v>9</v>
      </c>
      <c r="I57" s="5">
        <v>2</v>
      </c>
      <c r="J57" t="s">
        <v>21</v>
      </c>
    </row>
    <row r="58" spans="1:10" x14ac:dyDescent="0.3">
      <c r="A58" s="5" t="s">
        <v>10</v>
      </c>
      <c r="B58" s="5">
        <v>2</v>
      </c>
      <c r="C58" s="18">
        <v>40000000</v>
      </c>
      <c r="D58" s="11">
        <v>1600</v>
      </c>
      <c r="E58" s="15">
        <f t="shared" si="1"/>
        <v>4.0000000000000003E-5</v>
      </c>
      <c r="F58" s="5" t="s">
        <v>16</v>
      </c>
      <c r="G58" s="5" t="s">
        <v>20</v>
      </c>
      <c r="H58" s="5" t="s">
        <v>8</v>
      </c>
      <c r="I58" s="5">
        <v>2</v>
      </c>
      <c r="J58" t="s">
        <v>21</v>
      </c>
    </row>
    <row r="59" spans="1:10" x14ac:dyDescent="0.3">
      <c r="A59" s="5" t="s">
        <v>10</v>
      </c>
      <c r="B59" s="5">
        <v>3</v>
      </c>
      <c r="C59" s="18">
        <v>48000000</v>
      </c>
      <c r="D59" s="11">
        <v>2200</v>
      </c>
      <c r="E59" s="15">
        <f t="shared" si="1"/>
        <v>4.5833333333333334E-5</v>
      </c>
      <c r="F59" s="5" t="s">
        <v>16</v>
      </c>
      <c r="G59" s="5" t="s">
        <v>20</v>
      </c>
      <c r="H59" s="5" t="s">
        <v>8</v>
      </c>
      <c r="I59" s="5">
        <v>2</v>
      </c>
      <c r="J59" t="s">
        <v>21</v>
      </c>
    </row>
    <row r="60" spans="1:10" x14ac:dyDescent="0.3">
      <c r="A60" s="5" t="s">
        <v>10</v>
      </c>
      <c r="B60" s="5">
        <v>4</v>
      </c>
      <c r="C60" s="18">
        <v>24000000</v>
      </c>
      <c r="D60" s="11">
        <v>17800</v>
      </c>
      <c r="E60" s="15">
        <f t="shared" si="1"/>
        <v>7.4166666666666662E-4</v>
      </c>
      <c r="F60" s="5" t="s">
        <v>16</v>
      </c>
      <c r="G60" s="5" t="s">
        <v>20</v>
      </c>
      <c r="H60" s="5" t="s">
        <v>8</v>
      </c>
      <c r="I60" s="5">
        <v>2</v>
      </c>
      <c r="J60" t="s">
        <v>21</v>
      </c>
    </row>
    <row r="61" spans="1:10" x14ac:dyDescent="0.3">
      <c r="A61" s="7" t="s">
        <v>10</v>
      </c>
      <c r="B61" s="7">
        <v>5</v>
      </c>
      <c r="C61" s="19">
        <v>48000000</v>
      </c>
      <c r="D61" s="13">
        <v>53200</v>
      </c>
      <c r="E61" s="16">
        <f t="shared" si="1"/>
        <v>1.1083333333333333E-3</v>
      </c>
      <c r="F61" s="7" t="s">
        <v>16</v>
      </c>
      <c r="G61" s="7" t="s">
        <v>20</v>
      </c>
      <c r="H61" s="7" t="s">
        <v>8</v>
      </c>
      <c r="I61" s="7">
        <v>2</v>
      </c>
      <c r="J61" s="3" t="s">
        <v>21</v>
      </c>
    </row>
    <row r="62" spans="1:10" x14ac:dyDescent="0.3">
      <c r="A62" s="14" t="s">
        <v>6</v>
      </c>
      <c r="B62" s="14">
        <v>1</v>
      </c>
      <c r="C62" s="22">
        <v>2200000000</v>
      </c>
      <c r="D62" s="22">
        <v>106000000</v>
      </c>
      <c r="E62" s="1">
        <f>D62/C62</f>
        <v>4.818181818181818E-2</v>
      </c>
      <c r="F62" s="5" t="s">
        <v>17</v>
      </c>
      <c r="G62" s="5" t="s">
        <v>7</v>
      </c>
      <c r="H62" t="s">
        <v>8</v>
      </c>
      <c r="I62" s="5">
        <v>48</v>
      </c>
      <c r="J62" s="5" t="s">
        <v>23</v>
      </c>
    </row>
    <row r="63" spans="1:10" x14ac:dyDescent="0.3">
      <c r="A63" s="14" t="s">
        <v>6</v>
      </c>
      <c r="B63" s="14">
        <v>2</v>
      </c>
      <c r="C63" s="22">
        <v>800000000</v>
      </c>
      <c r="D63" s="22">
        <v>128000000</v>
      </c>
      <c r="E63" s="1">
        <f t="shared" ref="E63:E81" si="2">D63/C63</f>
        <v>0.16</v>
      </c>
      <c r="F63" s="5" t="s">
        <v>17</v>
      </c>
      <c r="G63" s="5" t="s">
        <v>7</v>
      </c>
      <c r="H63" t="s">
        <v>8</v>
      </c>
      <c r="I63" s="5">
        <v>48</v>
      </c>
      <c r="J63" s="5" t="s">
        <v>23</v>
      </c>
    </row>
    <row r="64" spans="1:10" x14ac:dyDescent="0.3">
      <c r="A64" s="14" t="s">
        <v>6</v>
      </c>
      <c r="B64" s="14">
        <v>3</v>
      </c>
      <c r="C64" s="22">
        <v>1600000000</v>
      </c>
      <c r="D64" s="22">
        <v>300000000</v>
      </c>
      <c r="E64" s="1">
        <f t="shared" si="2"/>
        <v>0.1875</v>
      </c>
      <c r="F64" s="5" t="s">
        <v>17</v>
      </c>
      <c r="G64" s="5" t="s">
        <v>7</v>
      </c>
      <c r="H64" t="s">
        <v>8</v>
      </c>
      <c r="I64" s="5">
        <v>48</v>
      </c>
      <c r="J64" s="5" t="s">
        <v>23</v>
      </c>
    </row>
    <row r="65" spans="1:10" x14ac:dyDescent="0.3">
      <c r="A65" s="14" t="s">
        <v>6</v>
      </c>
      <c r="B65" s="14">
        <v>4</v>
      </c>
      <c r="C65" s="22">
        <v>1000000000</v>
      </c>
      <c r="D65" s="22">
        <v>110000000</v>
      </c>
      <c r="E65" s="1">
        <f t="shared" si="2"/>
        <v>0.11</v>
      </c>
      <c r="F65" s="5" t="s">
        <v>17</v>
      </c>
      <c r="G65" s="5" t="s">
        <v>7</v>
      </c>
      <c r="H65" t="s">
        <v>8</v>
      </c>
      <c r="I65" s="5">
        <v>48</v>
      </c>
      <c r="J65" s="5" t="s">
        <v>23</v>
      </c>
    </row>
    <row r="66" spans="1:10" x14ac:dyDescent="0.3">
      <c r="A66" s="14" t="s">
        <v>6</v>
      </c>
      <c r="B66" s="14">
        <v>5</v>
      </c>
      <c r="C66" s="22">
        <v>200000000</v>
      </c>
      <c r="D66" s="22">
        <v>132000000</v>
      </c>
      <c r="E66" s="1">
        <f t="shared" si="2"/>
        <v>0.66</v>
      </c>
      <c r="F66" s="5" t="s">
        <v>17</v>
      </c>
      <c r="G66" s="5" t="s">
        <v>7</v>
      </c>
      <c r="H66" t="s">
        <v>8</v>
      </c>
      <c r="I66" s="5">
        <v>48</v>
      </c>
      <c r="J66" s="5" t="s">
        <v>23</v>
      </c>
    </row>
    <row r="67" spans="1:10" x14ac:dyDescent="0.3">
      <c r="A67" s="14" t="s">
        <v>6</v>
      </c>
      <c r="B67" s="14">
        <v>1</v>
      </c>
      <c r="C67" s="22">
        <v>1400000000</v>
      </c>
      <c r="D67" s="22">
        <v>72000</v>
      </c>
      <c r="E67" s="1">
        <f t="shared" si="2"/>
        <v>5.1428571428571429E-5</v>
      </c>
      <c r="F67" s="5" t="s">
        <v>17</v>
      </c>
      <c r="G67" t="s">
        <v>20</v>
      </c>
      <c r="H67" t="s">
        <v>8</v>
      </c>
      <c r="I67" s="5">
        <v>48</v>
      </c>
      <c r="J67" s="5" t="s">
        <v>23</v>
      </c>
    </row>
    <row r="68" spans="1:10" x14ac:dyDescent="0.3">
      <c r="A68" s="14" t="s">
        <v>6</v>
      </c>
      <c r="B68" s="14">
        <v>2</v>
      </c>
      <c r="C68" s="22">
        <v>200000000</v>
      </c>
      <c r="D68" s="22">
        <v>34000</v>
      </c>
      <c r="E68" s="1">
        <f t="shared" si="2"/>
        <v>1.7000000000000001E-4</v>
      </c>
      <c r="F68" s="5" t="s">
        <v>17</v>
      </c>
      <c r="G68" t="s">
        <v>20</v>
      </c>
      <c r="H68" t="s">
        <v>8</v>
      </c>
      <c r="I68" s="5">
        <v>48</v>
      </c>
      <c r="J68" s="5" t="s">
        <v>23</v>
      </c>
    </row>
    <row r="69" spans="1:10" x14ac:dyDescent="0.3">
      <c r="A69" s="14" t="s">
        <v>6</v>
      </c>
      <c r="B69" s="14">
        <v>3</v>
      </c>
      <c r="C69" s="22">
        <v>1000000000</v>
      </c>
      <c r="D69" s="22">
        <v>20000</v>
      </c>
      <c r="E69" s="1">
        <f t="shared" si="2"/>
        <v>2.0000000000000002E-5</v>
      </c>
      <c r="F69" s="5" t="s">
        <v>17</v>
      </c>
      <c r="G69" t="s">
        <v>20</v>
      </c>
      <c r="H69" t="s">
        <v>8</v>
      </c>
      <c r="I69" s="5">
        <v>48</v>
      </c>
      <c r="J69" s="5" t="s">
        <v>23</v>
      </c>
    </row>
    <row r="70" spans="1:10" x14ac:dyDescent="0.3">
      <c r="A70" s="14" t="s">
        <v>6</v>
      </c>
      <c r="B70" s="14">
        <v>4</v>
      </c>
      <c r="C70" s="22">
        <v>200000000</v>
      </c>
      <c r="D70" s="22">
        <v>30000</v>
      </c>
      <c r="E70" s="1">
        <f t="shared" si="2"/>
        <v>1.4999999999999999E-4</v>
      </c>
      <c r="F70" s="5" t="s">
        <v>17</v>
      </c>
      <c r="G70" t="s">
        <v>20</v>
      </c>
      <c r="H70" t="s">
        <v>8</v>
      </c>
      <c r="I70" s="5">
        <v>48</v>
      </c>
      <c r="J70" s="5" t="s">
        <v>23</v>
      </c>
    </row>
    <row r="71" spans="1:10" x14ac:dyDescent="0.3">
      <c r="A71" s="14" t="s">
        <v>6</v>
      </c>
      <c r="B71" s="14">
        <v>5</v>
      </c>
      <c r="C71" s="22">
        <v>800000000</v>
      </c>
      <c r="D71" s="22">
        <v>40000</v>
      </c>
      <c r="E71" s="1">
        <f t="shared" si="2"/>
        <v>5.0000000000000002E-5</v>
      </c>
      <c r="F71" s="5" t="s">
        <v>17</v>
      </c>
      <c r="G71" t="s">
        <v>20</v>
      </c>
      <c r="H71" t="s">
        <v>8</v>
      </c>
      <c r="I71" s="5">
        <v>48</v>
      </c>
      <c r="J71" s="5" t="s">
        <v>23</v>
      </c>
    </row>
    <row r="72" spans="1:10" x14ac:dyDescent="0.3">
      <c r="A72" s="14" t="s">
        <v>10</v>
      </c>
      <c r="B72" s="14">
        <v>1</v>
      </c>
      <c r="C72" s="22">
        <v>260000000</v>
      </c>
      <c r="D72" s="23">
        <v>100000</v>
      </c>
      <c r="E72" s="1">
        <f t="shared" si="2"/>
        <v>3.8461538461538462E-4</v>
      </c>
      <c r="F72" s="5" t="s">
        <v>17</v>
      </c>
      <c r="G72" s="5" t="s">
        <v>7</v>
      </c>
      <c r="H72" t="s">
        <v>9</v>
      </c>
      <c r="I72" s="5">
        <v>48</v>
      </c>
      <c r="J72" s="5" t="s">
        <v>23</v>
      </c>
    </row>
    <row r="73" spans="1:10" x14ac:dyDescent="0.3">
      <c r="A73" s="14" t="s">
        <v>10</v>
      </c>
      <c r="B73" s="14">
        <v>2</v>
      </c>
      <c r="C73" s="22">
        <v>280000000</v>
      </c>
      <c r="D73" s="22">
        <v>200000</v>
      </c>
      <c r="E73" s="1">
        <f t="shared" si="2"/>
        <v>7.1428571428571429E-4</v>
      </c>
      <c r="F73" s="5" t="s">
        <v>17</v>
      </c>
      <c r="G73" s="5" t="s">
        <v>7</v>
      </c>
      <c r="H73" t="s">
        <v>8</v>
      </c>
      <c r="I73" s="5">
        <v>48</v>
      </c>
      <c r="J73" s="5" t="s">
        <v>23</v>
      </c>
    </row>
    <row r="74" spans="1:10" x14ac:dyDescent="0.3">
      <c r="A74" s="14" t="s">
        <v>10</v>
      </c>
      <c r="B74" s="14">
        <v>3</v>
      </c>
      <c r="C74" s="22">
        <v>360000000</v>
      </c>
      <c r="D74" s="22">
        <v>400000</v>
      </c>
      <c r="E74" s="1">
        <f t="shared" si="2"/>
        <v>1.1111111111111111E-3</v>
      </c>
      <c r="F74" s="5" t="s">
        <v>17</v>
      </c>
      <c r="G74" s="5" t="s">
        <v>7</v>
      </c>
      <c r="H74" t="s">
        <v>8</v>
      </c>
      <c r="I74" s="5">
        <v>48</v>
      </c>
      <c r="J74" s="5" t="s">
        <v>23</v>
      </c>
    </row>
    <row r="75" spans="1:10" x14ac:dyDescent="0.3">
      <c r="A75" s="14" t="s">
        <v>10</v>
      </c>
      <c r="B75" s="14">
        <v>4</v>
      </c>
      <c r="C75" s="22">
        <v>360000000</v>
      </c>
      <c r="D75" s="23">
        <v>100000</v>
      </c>
      <c r="E75" s="1">
        <f t="shared" si="2"/>
        <v>2.7777777777777778E-4</v>
      </c>
      <c r="F75" s="5" t="s">
        <v>17</v>
      </c>
      <c r="G75" s="5" t="s">
        <v>7</v>
      </c>
      <c r="H75" t="s">
        <v>9</v>
      </c>
      <c r="I75" s="5">
        <v>48</v>
      </c>
      <c r="J75" s="5" t="s">
        <v>23</v>
      </c>
    </row>
    <row r="76" spans="1:10" x14ac:dyDescent="0.3">
      <c r="A76" s="14" t="s">
        <v>10</v>
      </c>
      <c r="B76" s="14">
        <v>5</v>
      </c>
      <c r="C76" s="22">
        <v>200000000</v>
      </c>
      <c r="D76" s="23">
        <v>100000</v>
      </c>
      <c r="E76" s="1">
        <f t="shared" si="2"/>
        <v>5.0000000000000001E-4</v>
      </c>
      <c r="F76" s="5" t="s">
        <v>17</v>
      </c>
      <c r="G76" s="5" t="s">
        <v>7</v>
      </c>
      <c r="H76" t="s">
        <v>9</v>
      </c>
      <c r="I76" s="5">
        <v>48</v>
      </c>
      <c r="J76" s="5" t="s">
        <v>23</v>
      </c>
    </row>
    <row r="77" spans="1:10" x14ac:dyDescent="0.3">
      <c r="A77" s="14" t="s">
        <v>10</v>
      </c>
      <c r="B77" s="14">
        <v>1</v>
      </c>
      <c r="C77" s="22">
        <v>220000000</v>
      </c>
      <c r="D77" s="23">
        <v>100</v>
      </c>
      <c r="E77" s="1">
        <f t="shared" si="2"/>
        <v>4.5454545454545452E-7</v>
      </c>
      <c r="F77" s="5" t="s">
        <v>17</v>
      </c>
      <c r="G77" t="s">
        <v>20</v>
      </c>
      <c r="H77" t="s">
        <v>9</v>
      </c>
      <c r="I77" s="5">
        <v>48</v>
      </c>
      <c r="J77" s="5" t="s">
        <v>23</v>
      </c>
    </row>
    <row r="78" spans="1:10" x14ac:dyDescent="0.3">
      <c r="A78" s="14" t="s">
        <v>10</v>
      </c>
      <c r="B78" s="14">
        <v>2</v>
      </c>
      <c r="C78" s="22">
        <v>240000000</v>
      </c>
      <c r="D78" s="23">
        <v>100</v>
      </c>
      <c r="E78" s="1">
        <f t="shared" si="2"/>
        <v>4.1666666666666667E-7</v>
      </c>
      <c r="F78" s="5" t="s">
        <v>17</v>
      </c>
      <c r="G78" t="s">
        <v>20</v>
      </c>
      <c r="H78" t="s">
        <v>9</v>
      </c>
      <c r="I78" s="5">
        <v>48</v>
      </c>
      <c r="J78" s="5" t="s">
        <v>23</v>
      </c>
    </row>
    <row r="79" spans="1:10" x14ac:dyDescent="0.3">
      <c r="A79" s="14" t="s">
        <v>10</v>
      </c>
      <c r="B79" s="14">
        <v>3</v>
      </c>
      <c r="C79" s="22">
        <v>200000000</v>
      </c>
      <c r="D79" s="23">
        <v>100</v>
      </c>
      <c r="E79" s="1">
        <f t="shared" si="2"/>
        <v>4.9999999999999998E-7</v>
      </c>
      <c r="F79" s="5" t="s">
        <v>17</v>
      </c>
      <c r="G79" t="s">
        <v>20</v>
      </c>
      <c r="H79" t="s">
        <v>9</v>
      </c>
      <c r="I79" s="5">
        <v>48</v>
      </c>
      <c r="J79" s="5" t="s">
        <v>23</v>
      </c>
    </row>
    <row r="80" spans="1:10" x14ac:dyDescent="0.3">
      <c r="A80" s="14" t="s">
        <v>10</v>
      </c>
      <c r="B80" s="14">
        <v>4</v>
      </c>
      <c r="C80" s="22">
        <v>320000000</v>
      </c>
      <c r="D80" s="23">
        <v>100</v>
      </c>
      <c r="E80" s="1">
        <f t="shared" si="2"/>
        <v>3.1250000000000003E-7</v>
      </c>
      <c r="F80" s="5" t="s">
        <v>17</v>
      </c>
      <c r="G80" t="s">
        <v>20</v>
      </c>
      <c r="H80" t="s">
        <v>9</v>
      </c>
      <c r="I80" s="5">
        <v>48</v>
      </c>
      <c r="J80" s="5" t="s">
        <v>23</v>
      </c>
    </row>
    <row r="81" spans="1:10" x14ac:dyDescent="0.3">
      <c r="A81" s="14" t="s">
        <v>10</v>
      </c>
      <c r="B81" s="14">
        <v>5</v>
      </c>
      <c r="C81" s="22">
        <v>300000000</v>
      </c>
      <c r="D81" s="22">
        <v>200</v>
      </c>
      <c r="E81" s="1">
        <f t="shared" si="2"/>
        <v>6.6666666666666671E-7</v>
      </c>
      <c r="F81" s="5" t="s">
        <v>17</v>
      </c>
      <c r="G81" t="s">
        <v>20</v>
      </c>
      <c r="H81" t="s">
        <v>8</v>
      </c>
      <c r="I81" s="5">
        <v>48</v>
      </c>
      <c r="J81" s="5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Morros-Bernaus, Clàudia</dc:creator>
  <cp:lastModifiedBy>Morros-Bernaus, Clàudia</cp:lastModifiedBy>
  <dcterms:created xsi:type="dcterms:W3CDTF">2026-05-07T09:24:25Z</dcterms:created>
  <dcterms:modified xsi:type="dcterms:W3CDTF">2026-10-27T13:09:32Z</dcterms:modified>
</cp:coreProperties>
</file>